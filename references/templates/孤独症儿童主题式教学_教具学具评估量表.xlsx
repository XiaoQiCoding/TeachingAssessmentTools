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具学具评估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2"/>
    </font>
    <font>
      <name val="微软雅黑"/>
      <i val="1"/>
      <color rgb="00444444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000000"/>
      <sz val="11"/>
    </font>
    <font>
      <name val="微软雅黑"/>
      <b val="1"/>
      <color rgb="001F3A5F"/>
      <sz val="11"/>
    </font>
    <font>
      <name val="微软雅黑"/>
      <b val="1"/>
      <color rgb="00C00000"/>
      <sz val="11"/>
    </font>
    <font>
      <name val="微软雅黑"/>
      <b val="1"/>
      <sz val="14"/>
    </font>
    <font>
      <name val="微软雅黑"/>
      <b val="1"/>
      <color rgb="00C00000"/>
      <sz val="16"/>
    </font>
    <font>
      <name val="微软雅黑"/>
      <b val="1"/>
      <sz val="11"/>
    </font>
    <font>
      <name val="微软雅黑"/>
      <b val="1"/>
      <color rgb="001F3A5F"/>
      <sz val="12"/>
    </font>
    <font>
      <name val="微软雅黑"/>
      <sz val="9"/>
    </font>
    <font>
      <name val="微软雅黑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4A7BA8"/>
      </patternFill>
    </fill>
    <fill>
      <patternFill patternType="solid">
        <fgColor rgb="005B8DBE"/>
      </patternFill>
    </fill>
    <fill>
      <patternFill patternType="solid">
        <fgColor rgb="00D6E5F3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B8D0E8"/>
      </patternFill>
    </fill>
    <fill>
      <patternFill patternType="solid">
        <fgColor rgb="00FFFBE6"/>
      </patternFill>
    </fill>
    <fill>
      <patternFill patternType="solid">
        <fgColor rgb="00E8F0F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medium">
        <color rgb="002E5C8A"/>
      </left>
      <right style="medium">
        <color rgb="002E5C8A"/>
      </right>
      <top style="medium">
        <color rgb="002E5C8A"/>
      </top>
      <bottom style="medium">
        <color rgb="002E5C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2" fontId="0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right" vertical="center"/>
    </xf>
    <xf numFmtId="2" fontId="11" fillId="11" borderId="6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12" customWidth="1" min="4" max="4"/>
    <col width="10" customWidth="1" min="5" max="5"/>
    <col width="32" customWidth="1" min="6" max="6"/>
    <col width="14" customWidth="1" min="7" max="7"/>
  </cols>
  <sheetData>
    <row r="1" ht="38" customHeight="1">
      <c r="A1" s="1" t="inlineStr">
        <is>
          <t>孤独症儿童主题式教学 · 教具学具评估量表</t>
        </is>
      </c>
    </row>
    <row r="2" ht="24" customHeight="1">
      <c r="A2" s="2" t="inlineStr">
        <is>
          <t>课题：具象化学习视域下，低年段孤独症儿童主题式教学的实践研究（2025年福建省教育科学规划课题）</t>
        </is>
      </c>
    </row>
    <row r="3" ht="20" customHeight="1">
      <c r="A3" s="3" t="inlineStr">
        <is>
          <t>评估目的：评估主题式教学中教具学具的契合度、教学成效、创新与推广价值</t>
        </is>
      </c>
    </row>
    <row r="5" ht="22" customHeight="1">
      <c r="A5" s="4" t="inlineStr">
        <is>
          <t>一、基础信息</t>
        </is>
      </c>
    </row>
    <row r="6">
      <c r="A6" s="5" t="inlineStr">
        <is>
          <t>教学具名称</t>
        </is>
      </c>
      <c r="B6" s="6" t="inlineStr"/>
    </row>
    <row r="7">
      <c r="A7" s="5" t="inlineStr">
        <is>
          <t>所属主题</t>
        </is>
      </c>
      <c r="B7" s="6" t="inlineStr"/>
    </row>
    <row r="8">
      <c r="A8" s="5" t="inlineStr">
        <is>
          <t>授课教师</t>
        </is>
      </c>
      <c r="B8" s="6" t="inlineStr"/>
    </row>
    <row r="9">
      <c r="A9" s="5" t="inlineStr">
        <is>
          <t>评估人员</t>
        </is>
      </c>
      <c r="B9" s="6" t="inlineStr"/>
    </row>
    <row r="10">
      <c r="A10" s="5" t="inlineStr">
        <is>
          <t>评估日期</t>
        </is>
      </c>
      <c r="B10" s="6" t="inlineStr"/>
    </row>
    <row r="11">
      <c r="A11" s="5" t="inlineStr">
        <is>
          <t>使用班级</t>
        </is>
      </c>
      <c r="B11" s="6" t="inlineStr"/>
    </row>
    <row r="13" ht="22" customHeight="1">
      <c r="A13" s="4" t="inlineStr">
        <is>
          <t>二、评分等级说明（每项满分 5 分）</t>
        </is>
      </c>
    </row>
    <row r="14">
      <c r="A14" s="7" t="inlineStr">
        <is>
          <t>等级</t>
        </is>
      </c>
      <c r="B14" s="7" t="inlineStr">
        <is>
          <t>分值</t>
        </is>
      </c>
      <c r="C14" s="7" t="inlineStr">
        <is>
          <t>说明</t>
        </is>
      </c>
      <c r="D14" s="8" t="n"/>
      <c r="E14" s="8" t="n"/>
      <c r="F14" s="8" t="n"/>
      <c r="G14" s="9" t="n"/>
    </row>
    <row r="15">
      <c r="A15" s="10" t="n">
        <v>5</v>
      </c>
      <c r="B15" s="11" t="inlineStr">
        <is>
          <t>优秀</t>
        </is>
      </c>
      <c r="C15" s="12" t="inlineStr">
        <is>
          <t>教学具完美满足要求，远超预期，可作为示范</t>
        </is>
      </c>
    </row>
    <row r="16">
      <c r="A16" s="13" t="n">
        <v>4</v>
      </c>
      <c r="B16" s="14" t="inlineStr">
        <is>
          <t>良好</t>
        </is>
      </c>
      <c r="C16" s="15" t="inlineStr">
        <is>
          <t>教学具较好满足要求，少量细节可优化</t>
        </is>
      </c>
    </row>
    <row r="17">
      <c r="A17" s="10" t="n">
        <v>3</v>
      </c>
      <c r="B17" s="11" t="inlineStr">
        <is>
          <t>合格</t>
        </is>
      </c>
      <c r="C17" s="12" t="inlineStr">
        <is>
          <t>教学具基本满足要求，需小幅改进</t>
        </is>
      </c>
    </row>
    <row r="18">
      <c r="A18" s="13" t="n">
        <v>2</v>
      </c>
      <c r="B18" s="14" t="inlineStr">
        <is>
          <t>待改进</t>
        </is>
      </c>
      <c r="C18" s="15" t="inlineStr">
        <is>
          <t>教学具部分满足要求，需较大调整</t>
        </is>
      </c>
    </row>
    <row r="19">
      <c r="A19" s="10" t="n">
        <v>1</v>
      </c>
      <c r="B19" s="11" t="inlineStr">
        <is>
          <t>不合格</t>
        </is>
      </c>
      <c r="C19" s="12" t="inlineStr">
        <is>
          <t>教学具不能满足要求，需重新设计或替换</t>
        </is>
      </c>
    </row>
    <row r="21" ht="22" customHeight="1">
      <c r="A21" s="4" t="inlineStr">
        <is>
          <t>三、评分明细</t>
        </is>
      </c>
    </row>
    <row r="22" ht="24" customHeight="1">
      <c r="A22" s="7" t="inlineStr">
        <is>
          <t>序号</t>
        </is>
      </c>
      <c r="B22" s="7" t="inlineStr">
        <is>
          <t>维度名称</t>
        </is>
      </c>
      <c r="C22" s="7" t="inlineStr">
        <is>
          <t>指标说明</t>
        </is>
      </c>
      <c r="D22" s="7" t="inlineStr">
        <is>
          <t>权重(%)</t>
        </is>
      </c>
      <c r="E22" s="7" t="inlineStr">
        <is>
          <t>评分(1-5)</t>
        </is>
      </c>
      <c r="F22" s="7" t="inlineStr">
        <is>
          <t>评语/改进建议</t>
        </is>
      </c>
      <c r="G22" s="7" t="inlineStr">
        <is>
          <t>加权得分</t>
        </is>
      </c>
    </row>
    <row r="23" ht="26" customHeight="1">
      <c r="A23" s="16" t="inlineStr">
        <is>
          <t>维度一：教学具与教学内容的契合度（权重 25%）— 评价教学具是否与主题教学内容相关联、匹配度如何</t>
        </is>
      </c>
    </row>
    <row r="24" ht="30" customHeight="1">
      <c r="A24" s="17" t="n">
        <v>1</v>
      </c>
      <c r="B24" s="18" t="inlineStr">
        <is>
          <t>主题契合性</t>
        </is>
      </c>
      <c r="C24" s="19" t="inlineStr">
        <is>
          <t>教学具是否紧扣当节课主题，与"生活适应""简单社交"等核心主题目标一致</t>
        </is>
      </c>
      <c r="D24" s="20" t="n">
        <v>5</v>
      </c>
      <c r="E24" s="21" t="inlineStr"/>
      <c r="F24" s="22" t="inlineStr"/>
      <c r="G24" s="23">
        <f>IF(E24="","",E24*D24*5/100)</f>
        <v/>
      </c>
    </row>
    <row r="25" ht="30" customHeight="1">
      <c r="A25" s="24" t="n">
        <v>2</v>
      </c>
      <c r="B25" s="12" t="inlineStr">
        <is>
          <t>目标对应性</t>
        </is>
      </c>
      <c r="C25" s="25" t="inlineStr">
        <is>
          <t>教学具是否对应教学目标中的认知、语言、社交或生活技能领域</t>
        </is>
      </c>
      <c r="D25" s="26" t="n">
        <v>5</v>
      </c>
      <c r="E25" s="24" t="inlineStr"/>
      <c r="F25" s="27" t="inlineStr"/>
      <c r="G25" s="28">
        <f>IF(E25="","",E25*D25*5/100)</f>
        <v/>
      </c>
    </row>
    <row r="26" ht="30" customHeight="1">
      <c r="A26" s="17" t="n">
        <v>3</v>
      </c>
      <c r="B26" s="18" t="inlineStr">
        <is>
          <t>具象化程度</t>
        </is>
      </c>
      <c r="C26" s="19" t="inlineStr">
        <is>
          <t>教学具能否将抽象概念转化为可感知、可操作的具体形式（视觉化、触觉化、情境化）</t>
        </is>
      </c>
      <c r="D26" s="20" t="n">
        <v>5</v>
      </c>
      <c r="E26" s="21" t="inlineStr"/>
      <c r="F26" s="22" t="inlineStr"/>
      <c r="G26" s="23">
        <f>IF(E26="","",E26*D26*5/100)</f>
        <v/>
      </c>
    </row>
    <row r="27" ht="30" customHeight="1">
      <c r="A27" s="24" t="n">
        <v>4</v>
      </c>
      <c r="B27" s="12" t="inlineStr">
        <is>
          <t>学情适配性</t>
        </is>
      </c>
      <c r="C27" s="25" t="inlineStr">
        <is>
          <t>教学具是否符合 6-9 岁低年段孤独症儿童的认知水平、感知特点和兴趣偏好</t>
        </is>
      </c>
      <c r="D27" s="26" t="n">
        <v>5</v>
      </c>
      <c r="E27" s="24" t="inlineStr"/>
      <c r="F27" s="27" t="inlineStr"/>
      <c r="G27" s="28">
        <f>IF(E27="","",E27*D27*5/100)</f>
        <v/>
      </c>
    </row>
    <row r="28" ht="30" customHeight="1">
      <c r="A28" s="17" t="n">
        <v>5</v>
      </c>
      <c r="B28" s="18" t="inlineStr">
        <is>
          <t>多感官支持</t>
        </is>
      </c>
      <c r="C28" s="19" t="inlineStr">
        <is>
          <t>是否调动视觉、触觉、动觉等多感官通道，支持 ASD 儿童视觉加工优势</t>
        </is>
      </c>
      <c r="D28" s="20" t="n">
        <v>5</v>
      </c>
      <c r="E28" s="21" t="inlineStr"/>
      <c r="F28" s="22" t="inlineStr"/>
      <c r="G28" s="23">
        <f>IF(E28="","",E28*D28*5/100)</f>
        <v/>
      </c>
    </row>
    <row r="29" ht="24" customHeight="1">
      <c r="A29" s="29" t="inlineStr">
        <is>
          <t xml:space="preserve">   小计：维度一：教学具与教学内容的契合度  满分 = 1.25</t>
        </is>
      </c>
      <c r="G29" s="30">
        <f>SUM(G24:G28)</f>
        <v/>
      </c>
    </row>
    <row r="30" ht="26" customHeight="1">
      <c r="A30" s="16" t="inlineStr">
        <is>
          <t>维度二：教学具的数量与质量（权重 20%）— 评价数量质量是否满足课堂教学需要，是否助力学习理解</t>
        </is>
      </c>
    </row>
    <row r="31" ht="30" customHeight="1">
      <c r="A31" s="24" t="n">
        <v>6</v>
      </c>
      <c r="B31" s="12" t="inlineStr">
        <is>
          <t>数量充足性</t>
        </is>
      </c>
      <c r="C31" s="25" t="inlineStr">
        <is>
          <t>教学具数量是否满足全班学生人手 1 套或合理分组轮换使用</t>
        </is>
      </c>
      <c r="D31" s="26" t="n">
        <v>4</v>
      </c>
      <c r="E31" s="24" t="inlineStr"/>
      <c r="F31" s="27" t="inlineStr"/>
      <c r="G31" s="28">
        <f>IF(E31="","",E31*D31*5/100)</f>
        <v/>
      </c>
    </row>
    <row r="32" ht="30" customHeight="1">
      <c r="A32" s="17" t="n">
        <v>7</v>
      </c>
      <c r="B32" s="18" t="inlineStr">
        <is>
          <t>结构化程度</t>
        </is>
      </c>
      <c r="C32" s="19" t="inlineStr">
        <is>
          <t>是否具备结构化设计（步骤清晰、视觉提示明确、错误控制）</t>
        </is>
      </c>
      <c r="D32" s="20" t="n">
        <v>4</v>
      </c>
      <c r="E32" s="21" t="inlineStr"/>
      <c r="F32" s="22" t="inlineStr"/>
      <c r="G32" s="23">
        <f>IF(E32="","",E32*D32*5/100)</f>
        <v/>
      </c>
    </row>
    <row r="33" ht="30" customHeight="1">
      <c r="A33" s="24" t="n">
        <v>8</v>
      </c>
      <c r="B33" s="12" t="inlineStr">
        <is>
          <t>安全与耐用</t>
        </is>
      </c>
      <c r="C33" s="25" t="inlineStr">
        <is>
          <t>材质是否安全无毒、抗摔耐用、可反复消毒使用</t>
        </is>
      </c>
      <c r="D33" s="26" t="n">
        <v>4</v>
      </c>
      <c r="E33" s="24" t="inlineStr"/>
      <c r="F33" s="27" t="inlineStr"/>
      <c r="G33" s="28">
        <f>IF(E33="","",E33*D33*5/100)</f>
        <v/>
      </c>
    </row>
    <row r="34" ht="30" customHeight="1">
      <c r="A34" s="17" t="n">
        <v>9</v>
      </c>
      <c r="B34" s="18" t="inlineStr">
        <is>
          <t>清晰度与质感</t>
        </is>
      </c>
      <c r="C34" s="19" t="inlineStr">
        <is>
          <t>图案、文字、色彩是否清晰，符合 ASD 儿童的视觉加工需求</t>
        </is>
      </c>
      <c r="D34" s="20" t="n">
        <v>4</v>
      </c>
      <c r="E34" s="21" t="inlineStr"/>
      <c r="F34" s="22" t="inlineStr"/>
      <c r="G34" s="23">
        <f>IF(E34="","",E34*D34*5/100)</f>
        <v/>
      </c>
    </row>
    <row r="35" ht="30" customHeight="1">
      <c r="A35" s="24" t="n">
        <v>10</v>
      </c>
      <c r="B35" s="12" t="inlineStr">
        <is>
          <t>可收纳与便携</t>
        </is>
      </c>
      <c r="C35" s="25" t="inlineStr">
        <is>
          <t>是否便于课前布置、课后收纳，利于常态化使用</t>
        </is>
      </c>
      <c r="D35" s="26" t="n">
        <v>4</v>
      </c>
      <c r="E35" s="24" t="inlineStr"/>
      <c r="F35" s="27" t="inlineStr"/>
      <c r="G35" s="28">
        <f>IF(E35="","",E35*D35*5/100)</f>
        <v/>
      </c>
    </row>
    <row r="36" ht="24" customHeight="1">
      <c r="A36" s="29" t="inlineStr">
        <is>
          <t xml:space="preserve">   小计：维度二：教学具的数量与质量  满分 = 1.00</t>
        </is>
      </c>
      <c r="G36" s="30">
        <f>SUM(G31:G35)</f>
        <v/>
      </c>
    </row>
    <row r="37" ht="26" customHeight="1">
      <c r="A37" s="16" t="inlineStr">
        <is>
          <t>维度三：教学成效（使用后的质量与效率）（权重 25%）— 评价学生在使用后的教学质量、效率是否提升，含兴趣与操作</t>
        </is>
      </c>
    </row>
    <row r="38" ht="30" customHeight="1">
      <c r="A38" s="17" t="n">
        <v>11</v>
      </c>
      <c r="B38" s="18" t="inlineStr">
        <is>
          <t>学习兴趣</t>
        </is>
      </c>
      <c r="C38" s="19" t="inlineStr">
        <is>
          <t>是否能显著提升孤独症儿童课堂参与度与注意力时长</t>
        </is>
      </c>
      <c r="D38" s="20" t="n">
        <v>5</v>
      </c>
      <c r="E38" s="21" t="inlineStr"/>
      <c r="F38" s="22" t="inlineStr"/>
      <c r="G38" s="23">
        <f>IF(E38="","",E38*D38*5/100)</f>
        <v/>
      </c>
    </row>
    <row r="39" ht="30" customHeight="1">
      <c r="A39" s="24" t="n">
        <v>12</v>
      </c>
      <c r="B39" s="12" t="inlineStr">
        <is>
          <t>理解促进</t>
        </is>
      </c>
      <c r="C39" s="25" t="inlineStr">
        <is>
          <t>是否能促进学生对主题相关概念、指令的理解</t>
        </is>
      </c>
      <c r="D39" s="26" t="n">
        <v>5</v>
      </c>
      <c r="E39" s="24" t="inlineStr"/>
      <c r="F39" s="27" t="inlineStr"/>
      <c r="G39" s="28">
        <f>IF(E39="","",E39*D39*5/100)</f>
        <v/>
      </c>
    </row>
    <row r="40" ht="30" customHeight="1">
      <c r="A40" s="17" t="n">
        <v>13</v>
      </c>
      <c r="B40" s="18" t="inlineStr">
        <is>
          <t>操作可行</t>
        </is>
      </c>
      <c r="C40" s="19" t="inlineStr">
        <is>
          <t>学生能否独立或在少量辅助下完成动手操作</t>
        </is>
      </c>
      <c r="D40" s="20" t="n">
        <v>5</v>
      </c>
      <c r="E40" s="21" t="inlineStr"/>
      <c r="F40" s="22" t="inlineStr"/>
      <c r="G40" s="23">
        <f>IF(E40="","",E40*D40*5/100)</f>
        <v/>
      </c>
    </row>
    <row r="41" ht="30" customHeight="1">
      <c r="A41" s="24" t="n">
        <v>14</v>
      </c>
      <c r="B41" s="12" t="inlineStr">
        <is>
          <t>目标达成</t>
        </is>
      </c>
      <c r="C41" s="25" t="inlineStr">
        <is>
          <t>是否能帮助学生在认知、语言、社交或生活技能上达成预设目标</t>
        </is>
      </c>
      <c r="D41" s="26" t="n">
        <v>5</v>
      </c>
      <c r="E41" s="24" t="inlineStr"/>
      <c r="F41" s="27" t="inlineStr"/>
      <c r="G41" s="28">
        <f>IF(E41="","",E41*D41*5/100)</f>
        <v/>
      </c>
    </row>
    <row r="42" ht="30" customHeight="1">
      <c r="A42" s="17" t="n">
        <v>15</v>
      </c>
      <c r="B42" s="18" t="inlineStr">
        <is>
          <t>泛化迁移</t>
        </is>
      </c>
      <c r="C42" s="19" t="inlineStr">
        <is>
          <t>是否能促进所学技能迁移到其他主题或生活场景</t>
        </is>
      </c>
      <c r="D42" s="20" t="n">
        <v>5</v>
      </c>
      <c r="E42" s="21" t="inlineStr"/>
      <c r="F42" s="22" t="inlineStr"/>
      <c r="G42" s="23">
        <f>IF(E42="","",E42*D42*5/100)</f>
        <v/>
      </c>
    </row>
    <row r="43" ht="24" customHeight="1">
      <c r="A43" s="29" t="inlineStr">
        <is>
          <t xml:space="preserve">   小计：维度三：教学成效（使用后的质量与效率）  满分 = 1.25</t>
        </is>
      </c>
      <c r="G43" s="30">
        <f>SUM(G38:G42)</f>
        <v/>
      </c>
    </row>
    <row r="44" ht="26" customHeight="1">
      <c r="A44" s="16" t="inlineStr">
        <is>
          <t>维度四：创新性与师生家长评价（权重 20%）— 评价创新性、课后师生家长评价，及校内引用频次</t>
        </is>
      </c>
    </row>
    <row r="45" ht="30" customHeight="1">
      <c r="A45" s="24" t="n">
        <v>16</v>
      </c>
      <c r="B45" s="12" t="inlineStr">
        <is>
          <t>设计创新性</t>
        </is>
      </c>
      <c r="C45" s="25" t="inlineStr">
        <is>
          <t>是否在教具形态、玩法、情境或技术融合上有独到创新</t>
        </is>
      </c>
      <c r="D45" s="26" t="n">
        <v>4</v>
      </c>
      <c r="E45" s="24" t="inlineStr"/>
      <c r="F45" s="27" t="inlineStr"/>
      <c r="G45" s="28">
        <f>IF(E45="","",E45*D45*5/100)</f>
        <v/>
      </c>
    </row>
    <row r="46" ht="30" customHeight="1">
      <c r="A46" s="17" t="n">
        <v>17</v>
      </c>
      <c r="B46" s="18" t="inlineStr">
        <is>
          <t>教师认可度</t>
        </is>
      </c>
      <c r="C46" s="19" t="inlineStr">
        <is>
          <t>授课教师对教学具实用性、易用性、可推广性的评价</t>
        </is>
      </c>
      <c r="D46" s="20" t="n">
        <v>4</v>
      </c>
      <c r="E46" s="21" t="inlineStr"/>
      <c r="F46" s="22" t="inlineStr"/>
      <c r="G46" s="23">
        <f>IF(E46="","",E46*D46*5/100)</f>
        <v/>
      </c>
    </row>
    <row r="47" ht="30" customHeight="1">
      <c r="A47" s="24" t="n">
        <v>18</v>
      </c>
      <c r="B47" s="12" t="inlineStr">
        <is>
          <t>家长满意度</t>
        </is>
      </c>
      <c r="C47" s="25" t="inlineStr">
        <is>
          <t>家长对教学具在家庭延伸使用、亲子互动效果的评价</t>
        </is>
      </c>
      <c r="D47" s="26" t="n">
        <v>4</v>
      </c>
      <c r="E47" s="24" t="inlineStr"/>
      <c r="F47" s="27" t="inlineStr"/>
      <c r="G47" s="28">
        <f>IF(E47="","",E47*D47*5/100)</f>
        <v/>
      </c>
    </row>
    <row r="48" ht="30" customHeight="1">
      <c r="A48" s="17" t="n">
        <v>19</v>
      </c>
      <c r="B48" s="18" t="inlineStr">
        <is>
          <t>学生喜爱度</t>
        </is>
      </c>
      <c r="C48" s="19" t="inlineStr">
        <is>
          <t>学生在课堂主动选择、使用该教学具的频率</t>
        </is>
      </c>
      <c r="D48" s="20" t="n">
        <v>4</v>
      </c>
      <c r="E48" s="21" t="inlineStr"/>
      <c r="F48" s="22" t="inlineStr"/>
      <c r="G48" s="23">
        <f>IF(E48="","",E48*D48*5/100)</f>
        <v/>
      </c>
    </row>
    <row r="49" ht="30" customHeight="1">
      <c r="A49" s="24" t="n">
        <v>20</v>
      </c>
      <c r="B49" s="12" t="inlineStr">
        <is>
          <t>校内引用频次</t>
        </is>
      </c>
      <c r="C49" s="25" t="inlineStr">
        <is>
          <t>是否被校内其他班级、学科教师在常态教学中主动引用</t>
        </is>
      </c>
      <c r="D49" s="26" t="n">
        <v>4</v>
      </c>
      <c r="E49" s="24" t="inlineStr"/>
      <c r="F49" s="27" t="inlineStr"/>
      <c r="G49" s="28">
        <f>IF(E49="","",E49*D49*5/100)</f>
        <v/>
      </c>
    </row>
    <row r="50" ht="24" customHeight="1">
      <c r="A50" s="29" t="inlineStr">
        <is>
          <t xml:space="preserve">   小计：维度四：创新性与师生家长评价  满分 = 1.00</t>
        </is>
      </c>
      <c r="G50" s="30">
        <f>SUM(G45:G49)</f>
        <v/>
      </c>
    </row>
    <row r="51" ht="26" customHeight="1">
      <c r="A51" s="16" t="inlineStr">
        <is>
          <t>维度五：获奖与推广（加分项）（权重 10%）— 教学具获奖情况，作为指标加分项</t>
        </is>
      </c>
    </row>
    <row r="52" ht="30" customHeight="1">
      <c r="A52" s="17" t="n">
        <v>21</v>
      </c>
      <c r="B52" s="18" t="inlineStr">
        <is>
          <t>校级奖项</t>
        </is>
      </c>
      <c r="C52" s="19" t="inlineStr">
        <is>
          <t>在校级教学具评比、教具创新比赛中获奖</t>
        </is>
      </c>
      <c r="D52" s="20" t="n">
        <v>2</v>
      </c>
      <c r="E52" s="21" t="inlineStr"/>
      <c r="F52" s="22" t="inlineStr"/>
      <c r="G52" s="23">
        <f>IF(E52="","",E52*D52*5/100)</f>
        <v/>
      </c>
    </row>
    <row r="53" ht="30" customHeight="1">
      <c r="A53" s="24" t="n">
        <v>22</v>
      </c>
      <c r="B53" s="12" t="inlineStr">
        <is>
          <t>市级及以上奖项</t>
        </is>
      </c>
      <c r="C53" s="25" t="inlineStr">
        <is>
          <t>在市/省级教具评比、特殊教育成果评选中获奖</t>
        </is>
      </c>
      <c r="D53" s="26" t="n">
        <v>2</v>
      </c>
      <c r="E53" s="24" t="inlineStr"/>
      <c r="F53" s="27" t="inlineStr"/>
      <c r="G53" s="28">
        <f>IF(E53="","",E53*D53*5/100)</f>
        <v/>
      </c>
    </row>
    <row r="54" ht="30" customHeight="1">
      <c r="A54" s="17" t="n">
        <v>23</v>
      </c>
      <c r="B54" s="18" t="inlineStr">
        <is>
          <t>论文与案例</t>
        </is>
      </c>
      <c r="C54" s="19" t="inlineStr">
        <is>
          <t>围绕该教学具发表论文、案例或被评优课引用</t>
        </is>
      </c>
      <c r="D54" s="20" t="n">
        <v>2</v>
      </c>
      <c r="E54" s="21" t="inlineStr"/>
      <c r="F54" s="22" t="inlineStr"/>
      <c r="G54" s="23">
        <f>IF(E54="","",E54*D54*5/100)</f>
        <v/>
      </c>
    </row>
    <row r="55" ht="30" customHeight="1">
      <c r="A55" s="24" t="n">
        <v>24</v>
      </c>
      <c r="B55" s="12" t="inlineStr">
        <is>
          <t>区域推广</t>
        </is>
      </c>
      <c r="C55" s="25" t="inlineStr">
        <is>
          <t>被区域内其他特校、普校特教班引用或观摩</t>
        </is>
      </c>
      <c r="D55" s="26" t="n">
        <v>2</v>
      </c>
      <c r="E55" s="24" t="inlineStr"/>
      <c r="F55" s="27" t="inlineStr"/>
      <c r="G55" s="28">
        <f>IF(E55="","",E55*D55*5/100)</f>
        <v/>
      </c>
    </row>
    <row r="56" ht="30" customHeight="1">
      <c r="A56" s="17" t="n">
        <v>25</v>
      </c>
      <c r="B56" s="18" t="inlineStr">
        <is>
          <t>社会影响</t>
        </is>
      </c>
      <c r="C56" s="19" t="inlineStr">
        <is>
          <t>被媒体报道、家长社群传播或行业会议展示</t>
        </is>
      </c>
      <c r="D56" s="20" t="n">
        <v>2</v>
      </c>
      <c r="E56" s="21" t="inlineStr"/>
      <c r="F56" s="22" t="inlineStr"/>
      <c r="G56" s="23">
        <f>IF(E56="","",E56*D56*5/100)</f>
        <v/>
      </c>
    </row>
    <row r="57" ht="24" customHeight="1">
      <c r="A57" s="29" t="inlineStr">
        <is>
          <t xml:space="preserve">   小计：维度五：获奖与推广（加分项）  满分 = 0.50</t>
        </is>
      </c>
      <c r="G57" s="30">
        <f>SUM(G52:G56)</f>
        <v/>
      </c>
    </row>
    <row r="59" ht="22" customHeight="1">
      <c r="A59" s="4" t="inlineStr">
        <is>
          <t>四、综合评定</t>
        </is>
      </c>
    </row>
    <row r="60" ht="32" customHeight="1">
      <c r="A60" s="31" t="inlineStr">
        <is>
          <t xml:space="preserve">   总分（满分 5.00）</t>
        </is>
      </c>
      <c r="G60" s="32">
        <f>SUMIF(G:G,"&gt;=0")</f>
        <v/>
      </c>
    </row>
    <row r="61" ht="24" customHeight="1">
      <c r="A61" s="33" t="inlineStr">
        <is>
          <t xml:space="preserve">   百分制得分（满分 100）</t>
        </is>
      </c>
      <c r="G61" s="34">
        <f>G60*20</f>
        <v/>
      </c>
    </row>
    <row r="62" ht="60" customHeight="1">
      <c r="A62" s="33" t="inlineStr">
        <is>
          <t xml:space="preserve">   综合等级判定</t>
        </is>
      </c>
      <c r="G62" s="35" t="inlineStr">
        <is>
          <t>90 分及以上：优秀（★）
80 分及以上：良好
70 分及以上：合格
0 分及以上：不合格</t>
        </is>
      </c>
    </row>
    <row r="63" ht="60" customHeight="1">
      <c r="A63" s="33" t="inlineStr">
        <is>
          <t xml:space="preserve">   总体使用建议 / 是否纳入资源包</t>
        </is>
      </c>
      <c r="G63" s="36" t="inlineStr"/>
    </row>
    <row r="65" ht="22" customHeight="1">
      <c r="A65" s="4" t="inlineStr">
        <is>
          <t>五、签字确认</t>
        </is>
      </c>
    </row>
    <row r="66">
      <c r="A66" s="7" t="inlineStr">
        <is>
          <t>角色</t>
        </is>
      </c>
      <c r="B66" s="7" t="inlineStr">
        <is>
          <t>姓名</t>
        </is>
      </c>
      <c r="C66" s="7" t="inlineStr">
        <is>
          <t>签字/意见</t>
        </is>
      </c>
      <c r="D66" s="8" t="n"/>
      <c r="E66" s="8" t="n"/>
      <c r="F66" s="8" t="n"/>
      <c r="G66" s="9" t="n"/>
    </row>
    <row r="67" ht="32" customHeight="1">
      <c r="A67" s="11" t="inlineStr">
        <is>
          <t>授课教师</t>
        </is>
      </c>
      <c r="B67" s="37" t="inlineStr"/>
      <c r="C67" s="18" t="inlineStr"/>
    </row>
    <row r="68" ht="32" customHeight="1">
      <c r="A68" s="11" t="inlineStr">
        <is>
          <t>评估人员</t>
        </is>
      </c>
      <c r="B68" s="37" t="inlineStr"/>
      <c r="C68" s="18" t="inlineStr"/>
    </row>
    <row r="69" ht="32" customHeight="1">
      <c r="A69" s="11" t="inlineStr">
        <is>
          <t>教研组长</t>
        </is>
      </c>
      <c r="B69" s="37" t="inlineStr"/>
      <c r="C69" s="18" t="inlineStr"/>
    </row>
    <row r="70" ht="32" customHeight="1">
      <c r="A70" s="11" t="inlineStr">
        <is>
          <t>学校主管</t>
        </is>
      </c>
      <c r="B70" s="37" t="inlineStr"/>
      <c r="C70" s="18" t="inlineStr"/>
    </row>
    <row r="72" ht="22" customHeight="1">
      <c r="A72" s="4" t="inlineStr">
        <is>
          <t>六、使用说明</t>
        </is>
      </c>
    </row>
    <row r="73" ht="18" customHeight="1">
      <c r="A73" s="6" t="inlineStr">
        <is>
          <t>1. 每项指标按 5 级量表打分：5=优秀、4=良好、3=合格、2=待改进、1=不合格。</t>
        </is>
      </c>
    </row>
    <row r="74" ht="18" customHeight="1">
      <c r="A74" s="6" t="inlineStr">
        <is>
          <t>2. 各指标权重已在表中自动计算（= 维度权重 / 项目数）。</t>
        </is>
      </c>
    </row>
    <row r="75" ht="18" customHeight="1">
      <c r="A75" s="6" t="inlineStr">
        <is>
          <t>3. 评分输入后，加权得分与总分会自动计算（无需手动算术）。</t>
        </is>
      </c>
    </row>
    <row r="76" ht="18" customHeight="1">
      <c r="A76" s="6" t="inlineStr">
        <is>
          <t>4. 总分（5 分制）由各维度小计自动求和；百分制 = 总分 × 20。</t>
        </is>
      </c>
    </row>
    <row r="77" ht="18" customHeight="1">
      <c r="A77" s="6" t="inlineStr">
        <is>
          <t>5. 综合等级按百分制判定：≥90 优秀 / 80-89 良好 / 70-79 合格 / &lt;70 不合格。</t>
        </is>
      </c>
    </row>
    <row r="78" ht="18" customHeight="1">
      <c r="A78" s="6" t="inlineStr">
        <is>
          <t>6. 评语栏可记录具体改进建议，便于教研组后续跟踪。</t>
        </is>
      </c>
    </row>
    <row r="79" ht="18" customHeight="1">
      <c r="A79" s="6" t="inlineStr">
        <is>
          <t>7. 签字栏需授课教师、评估人员、教研组长、学校主管四方确认。</t>
        </is>
      </c>
    </row>
    <row r="81" ht="22" customHeight="1">
      <c r="A81" s="4" t="inlineStr">
        <is>
          <t>七、维度权重一览</t>
        </is>
      </c>
    </row>
    <row r="82">
      <c r="A82" s="7" t="inlineStr">
        <is>
          <t>维度</t>
        </is>
      </c>
      <c r="B82" s="7" t="inlineStr">
        <is>
          <t>名称</t>
        </is>
      </c>
      <c r="C82" s="7" t="inlineStr">
        <is>
          <t>权重</t>
        </is>
      </c>
    </row>
    <row r="83">
      <c r="A83" s="37" t="inlineStr">
        <is>
          <t>维度1</t>
        </is>
      </c>
      <c r="B83" s="18" t="inlineStr">
        <is>
          <t>教学具与教学内容的契合度</t>
        </is>
      </c>
      <c r="C83" s="38" t="inlineStr">
        <is>
          <t>25%</t>
        </is>
      </c>
    </row>
    <row r="84">
      <c r="A84" s="37" t="inlineStr">
        <is>
          <t>维度2</t>
        </is>
      </c>
      <c r="B84" s="18" t="inlineStr">
        <is>
          <t>教学具的数量与质量</t>
        </is>
      </c>
      <c r="C84" s="38" t="inlineStr">
        <is>
          <t>20%</t>
        </is>
      </c>
    </row>
    <row r="85">
      <c r="A85" s="37" t="inlineStr">
        <is>
          <t>维度3</t>
        </is>
      </c>
      <c r="B85" s="18" t="inlineStr">
        <is>
          <t>教学成效（使用后的质量与效率）</t>
        </is>
      </c>
      <c r="C85" s="38" t="inlineStr">
        <is>
          <t>25%</t>
        </is>
      </c>
    </row>
    <row r="86">
      <c r="A86" s="37" t="inlineStr">
        <is>
          <t>维度4</t>
        </is>
      </c>
      <c r="B86" s="18" t="inlineStr">
        <is>
          <t>创新性与师生家长评价</t>
        </is>
      </c>
      <c r="C86" s="38" t="inlineStr">
        <is>
          <t>20%</t>
        </is>
      </c>
    </row>
    <row r="87">
      <c r="A87" s="37" t="inlineStr">
        <is>
          <t>维度5</t>
        </is>
      </c>
      <c r="B87" s="18" t="inlineStr">
        <is>
          <t>获奖与推广（加分项）</t>
        </is>
      </c>
      <c r="C87" s="38" t="inlineStr">
        <is>
          <t>10%</t>
        </is>
      </c>
    </row>
  </sheetData>
  <mergeCells count="49">
    <mergeCell ref="C68:G68"/>
    <mergeCell ref="B7:C7"/>
    <mergeCell ref="C15:G15"/>
    <mergeCell ref="A72:G72"/>
    <mergeCell ref="A50:F50"/>
    <mergeCell ref="C14:G14"/>
    <mergeCell ref="A81:G81"/>
    <mergeCell ref="A57:F57"/>
    <mergeCell ref="A13:G13"/>
    <mergeCell ref="A44:G44"/>
    <mergeCell ref="B11:C11"/>
    <mergeCell ref="C16:G16"/>
    <mergeCell ref="A77:G77"/>
    <mergeCell ref="A30:G30"/>
    <mergeCell ref="A59:G59"/>
    <mergeCell ref="A62:F62"/>
    <mergeCell ref="A73:G73"/>
    <mergeCell ref="B8:C8"/>
    <mergeCell ref="A51:G51"/>
    <mergeCell ref="A29:F29"/>
    <mergeCell ref="A43:F43"/>
    <mergeCell ref="A63:F63"/>
    <mergeCell ref="A1:G1"/>
    <mergeCell ref="A79:G79"/>
    <mergeCell ref="B10:C10"/>
    <mergeCell ref="A78:G78"/>
    <mergeCell ref="A65:G65"/>
    <mergeCell ref="B9:C9"/>
    <mergeCell ref="C70:G70"/>
    <mergeCell ref="C17:G17"/>
    <mergeCell ref="A37:G37"/>
    <mergeCell ref="A75:G75"/>
    <mergeCell ref="B6:C6"/>
    <mergeCell ref="A74:G74"/>
    <mergeCell ref="A60:F60"/>
    <mergeCell ref="C67:G67"/>
    <mergeCell ref="A36:F36"/>
    <mergeCell ref="A3:G3"/>
    <mergeCell ref="A21:G21"/>
    <mergeCell ref="B82"/>
    <mergeCell ref="C66:G66"/>
    <mergeCell ref="A61:F61"/>
    <mergeCell ref="C19:G19"/>
    <mergeCell ref="A2:G2"/>
    <mergeCell ref="A76:G76"/>
    <mergeCell ref="C69:G69"/>
    <mergeCell ref="C18:G18"/>
    <mergeCell ref="A5:G5"/>
    <mergeCell ref="A23:G23"/>
  </mergeCells>
  <printOptions horizontalCentered="1"/>
  <pageMargins left="1" right="1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2026-09-02T04:34:22Z</dcterms:created>
  <dcterms:modified xmlns:dcterms="http://purl.org/dc/terms/" xmlns:xsi="http://www.w3.org/2001/XMLSchema-instance" xsi:type="dcterms:W3CDTF">2026-09-02T04:34:22Z</dcterms:modified>
</cp:coreProperties>
</file>